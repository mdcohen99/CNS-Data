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cohen/GitHub/Grad School Repos/Fall 2025/CNS-Data/Camden Yards /BNIA data/"/>
    </mc:Choice>
  </mc:AlternateContent>
  <xr:revisionPtr revIDLastSave="0" documentId="13_ncr:1_{631DC4AF-797D-2442-B142-4A2FF6C5AC0F}" xr6:coauthVersionLast="47" xr6:coauthVersionMax="47" xr10:uidLastSave="{00000000-0000-0000-0000-000000000000}"/>
  <bookViews>
    <workbookView xWindow="2080" yWindow="-20500" windowWidth="27640" windowHeight="16680" xr2:uid="{2DF27F02-1B05-3E48-9A7A-7DBDDC645921}"/>
  </bookViews>
  <sheets>
    <sheet name="Sheet1" sheetId="1" r:id="rId1"/>
    <sheet name="Sheet2" sheetId="2" r:id="rId2"/>
  </sheets>
  <definedNames>
    <definedName name="_xlnm._FilterDatabase" localSheetId="0" hidden="1">Sheet1!$C$2:$C$55</definedName>
    <definedName name="_xlnm._FilterDatabase" localSheetId="1" hidden="1">Sheet2!$C$1:$C$19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C9" i="2"/>
  <c r="C12" i="2"/>
  <c r="C3" i="2"/>
  <c r="C7" i="2"/>
  <c r="C18" i="2"/>
  <c r="C4" i="2"/>
  <c r="C19" i="2"/>
  <c r="C14" i="2"/>
  <c r="C6" i="2"/>
  <c r="C16" i="2"/>
  <c r="C10" i="2"/>
  <c r="C11" i="2"/>
  <c r="C5" i="2"/>
  <c r="C8" i="2"/>
  <c r="C17" i="2"/>
  <c r="C15" i="2"/>
</calcChain>
</file>

<file path=xl/sharedStrings.xml><?xml version="1.0" encoding="utf-8"?>
<sst xmlns="http://schemas.openxmlformats.org/spreadsheetml/2006/main" count="42" uniqueCount="22">
  <si>
    <t>OBJECTID</t>
  </si>
  <si>
    <t>Community Statistical Area (2020)</t>
  </si>
  <si>
    <t>Percent Change</t>
  </si>
  <si>
    <t>Canton</t>
  </si>
  <si>
    <t>Downtown/Seton Hill</t>
  </si>
  <si>
    <t>Fells Point</t>
  </si>
  <si>
    <t>Greater Rosemont</t>
  </si>
  <si>
    <t>Harbor East/Little Italy</t>
  </si>
  <si>
    <t>Highlandtown</t>
  </si>
  <si>
    <t>Inner Harbor/Federal Hill</t>
  </si>
  <si>
    <t>Madison/East End</t>
  </si>
  <si>
    <t>Midtown</t>
  </si>
  <si>
    <t>Oldtown/Middle East</t>
  </si>
  <si>
    <t>Patterson Park North &amp; East</t>
  </si>
  <si>
    <t>Poppleton/The Terraces/Hollins Market</t>
  </si>
  <si>
    <t>Sandtown-Winchester/Harlem Park</t>
  </si>
  <si>
    <t>South Baltimore</t>
  </si>
  <si>
    <t>Southwest Baltimore</t>
  </si>
  <si>
    <t>Upton/Druid Heights</t>
  </si>
  <si>
    <t>Pigtown/Carroll Park</t>
  </si>
  <si>
    <t>BIZ PER 1000 FILTERED FOR MAP</t>
  </si>
  <si>
    <t>NEW FOUR YEAR BIZ FOR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</si>
</sst>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4EBDF-FF92-8748-BDF9-44E4F2B9863E}">
  <dimension ref="A1:Q34"/>
  <sheetViews>
    <sheetView tabSelected="1" workbookViewId="0">
      <selection activeCell="C19" sqref="C19"/>
    </sheetView>
  </sheetViews>
  <sheetFormatPr baseColWidth="10" defaultRowHeight="16" x14ac:dyDescent="0.2"/>
  <cols>
    <col min="1" max="1" width="10.83203125" style="4"/>
    <col min="2" max="2" width="33.1640625" style="4" customWidth="1"/>
    <col min="3" max="3" width="19" style="4" customWidth="1"/>
    <col min="4" max="16384" width="10.83203125" style="4"/>
  </cols>
  <sheetData>
    <row r="1" spans="1:17" s="3" customFormat="1" ht="48" customHeight="1" x14ac:dyDescent="0.2">
      <c r="B1" s="3" t="s">
        <v>20</v>
      </c>
    </row>
    <row r="2" spans="1:17" ht="17" customHeight="1" x14ac:dyDescent="0.2">
      <c r="A2" s="4" t="s">
        <v>0</v>
      </c>
      <c r="B2" s="4" t="s">
        <v>1</v>
      </c>
      <c r="C2" s="4" t="s">
        <v>2</v>
      </c>
      <c r="D2" s="4">
        <v>2010</v>
      </c>
      <c r="E2" s="4">
        <v>2011</v>
      </c>
      <c r="F2" s="4">
        <v>2012</v>
      </c>
      <c r="G2" s="4">
        <v>2013</v>
      </c>
      <c r="H2" s="4">
        <v>2014</v>
      </c>
      <c r="I2" s="4">
        <v>2015</v>
      </c>
      <c r="J2" s="4">
        <v>2016</v>
      </c>
      <c r="K2" s="4">
        <v>2017</v>
      </c>
      <c r="L2" s="4">
        <v>2018</v>
      </c>
      <c r="M2" s="4">
        <v>2019</v>
      </c>
      <c r="N2" s="4">
        <v>2020</v>
      </c>
      <c r="O2" s="4">
        <v>2021</v>
      </c>
      <c r="P2" s="4">
        <v>2022</v>
      </c>
      <c r="Q2" s="4">
        <v>2023</v>
      </c>
    </row>
    <row r="3" spans="1:17" x14ac:dyDescent="0.2">
      <c r="A3" s="4">
        <v>41</v>
      </c>
      <c r="B3" s="4" t="s">
        <v>12</v>
      </c>
      <c r="C3" s="4">
        <v>272.36514399999999</v>
      </c>
      <c r="D3" s="4">
        <v>41.990846679999997</v>
      </c>
      <c r="E3" s="4">
        <v>43.707093819999997</v>
      </c>
      <c r="F3" s="4">
        <v>36.024348869999997</v>
      </c>
      <c r="G3" s="4">
        <v>43.209260550000003</v>
      </c>
      <c r="H3" s="4">
        <v>35.824800000000003</v>
      </c>
      <c r="I3" s="4">
        <v>46.701925959999997</v>
      </c>
      <c r="J3" s="4">
        <v>66.660013969999994</v>
      </c>
      <c r="K3" s="4">
        <v>75.241991819999996</v>
      </c>
      <c r="L3" s="4">
        <v>96.796726870000001</v>
      </c>
      <c r="M3" s="4">
        <v>100.688554</v>
      </c>
      <c r="N3" s="4">
        <v>114.5968628</v>
      </c>
      <c r="O3" s="4">
        <v>122.5896693</v>
      </c>
      <c r="P3" s="4">
        <v>152.36287340000001</v>
      </c>
      <c r="Q3" s="4">
        <v>156.35927670000001</v>
      </c>
    </row>
    <row r="4" spans="1:17" x14ac:dyDescent="0.2">
      <c r="A4" s="4">
        <v>48</v>
      </c>
      <c r="B4" s="4" t="s">
        <v>16</v>
      </c>
      <c r="C4" s="4">
        <v>61.194710569999998</v>
      </c>
      <c r="D4" s="4">
        <v>13.6801368</v>
      </c>
      <c r="E4" s="4">
        <v>13.950139500000001</v>
      </c>
      <c r="F4" s="4">
        <v>26.225413669999998</v>
      </c>
      <c r="G4" s="4">
        <v>30.596315950000001</v>
      </c>
      <c r="H4" s="4">
        <v>28.098700000000001</v>
      </c>
      <c r="I4" s="4">
        <v>21.69840774</v>
      </c>
      <c r="J4" s="4">
        <v>29.191383080000001</v>
      </c>
      <c r="K4" s="4">
        <v>28.254761160000001</v>
      </c>
      <c r="L4" s="4">
        <v>28.254761160000001</v>
      </c>
      <c r="M4" s="4">
        <v>20.917889479999999</v>
      </c>
      <c r="N4" s="4">
        <v>21.92982456</v>
      </c>
      <c r="O4" s="4">
        <v>21.686159839999998</v>
      </c>
      <c r="P4" s="4">
        <v>21.442495130000001</v>
      </c>
      <c r="Q4" s="4">
        <v>22.051656919999999</v>
      </c>
    </row>
    <row r="5" spans="1:17" x14ac:dyDescent="0.2">
      <c r="A5" s="4">
        <v>26</v>
      </c>
      <c r="B5" s="4" t="s">
        <v>7</v>
      </c>
      <c r="C5" s="4">
        <v>21.624611730000002</v>
      </c>
      <c r="D5" s="4">
        <v>48.085814679999999</v>
      </c>
      <c r="E5" s="4">
        <v>48.085814679999999</v>
      </c>
      <c r="F5" s="4">
        <v>50.120214539999999</v>
      </c>
      <c r="G5" s="4">
        <v>61.956722769999999</v>
      </c>
      <c r="H5" s="4">
        <v>55.483600000000003</v>
      </c>
      <c r="I5" s="4">
        <v>56.963195859999999</v>
      </c>
      <c r="J5" s="4">
        <v>60.477159239999999</v>
      </c>
      <c r="K5" s="4">
        <v>56.408359529999998</v>
      </c>
      <c r="L5" s="4">
        <v>58.072868499999998</v>
      </c>
      <c r="M5" s="4">
        <v>53.079341589999999</v>
      </c>
      <c r="N5" s="4">
        <v>59.478814399999997</v>
      </c>
      <c r="O5" s="4">
        <v>59.2798886</v>
      </c>
      <c r="P5" s="4">
        <v>58.285259600000003</v>
      </c>
      <c r="Q5" s="4">
        <v>58.484185400000001</v>
      </c>
    </row>
    <row r="6" spans="1:17" x14ac:dyDescent="0.2">
      <c r="A6" s="4">
        <v>53</v>
      </c>
      <c r="B6" s="4" t="s">
        <v>18</v>
      </c>
      <c r="C6" s="4">
        <v>10.204713010000001</v>
      </c>
      <c r="D6" s="4">
        <v>16.99598125</v>
      </c>
      <c r="E6" s="4">
        <v>16.661085060000001</v>
      </c>
      <c r="F6" s="4">
        <v>18.75846065</v>
      </c>
      <c r="G6" s="4">
        <v>18.951846840000002</v>
      </c>
      <c r="H6" s="4">
        <v>18.274999999999999</v>
      </c>
      <c r="I6" s="4">
        <v>18.855153739999999</v>
      </c>
      <c r="J6" s="4">
        <v>13.92380584</v>
      </c>
      <c r="K6" s="4">
        <v>12.4734094</v>
      </c>
      <c r="L6" s="4">
        <v>15.37420228</v>
      </c>
      <c r="M6" s="4">
        <v>16.05105395</v>
      </c>
      <c r="N6" s="4">
        <v>17.608793179999999</v>
      </c>
      <c r="O6" s="4">
        <v>16.935845669999999</v>
      </c>
      <c r="P6" s="4">
        <v>18.9546882</v>
      </c>
      <c r="Q6" s="4">
        <v>18.73037236</v>
      </c>
    </row>
    <row r="7" spans="1:17" x14ac:dyDescent="0.2">
      <c r="A7" s="4">
        <v>54</v>
      </c>
      <c r="B7" s="4" t="s">
        <v>19</v>
      </c>
      <c r="C7" s="4">
        <v>0.25611133400000002</v>
      </c>
      <c r="D7" s="4">
        <v>33.254588409999997</v>
      </c>
      <c r="E7" s="4">
        <v>31.437397780000001</v>
      </c>
      <c r="F7" s="4">
        <v>33.98146466</v>
      </c>
      <c r="G7" s="4">
        <v>36.707250590000001</v>
      </c>
      <c r="H7" s="4">
        <v>34.708300000000001</v>
      </c>
      <c r="I7" s="4">
        <v>29.801926219999999</v>
      </c>
      <c r="J7" s="4">
        <v>31.255678719999999</v>
      </c>
      <c r="K7" s="4">
        <v>27.803016540000002</v>
      </c>
      <c r="L7" s="4">
        <v>31.255678719999999</v>
      </c>
      <c r="M7" s="4">
        <v>27.439578409999999</v>
      </c>
      <c r="N7" s="4">
        <v>33.917903260000003</v>
      </c>
      <c r="O7" s="4">
        <v>32.954326459999997</v>
      </c>
      <c r="P7" s="4">
        <v>34.88148005</v>
      </c>
      <c r="Q7" s="4">
        <v>33.339757179999999</v>
      </c>
    </row>
    <row r="8" spans="1:17" x14ac:dyDescent="0.2">
      <c r="A8" s="4">
        <v>5</v>
      </c>
      <c r="B8" s="4" t="s">
        <v>3</v>
      </c>
      <c r="C8" s="4">
        <v>-1.6870979770000001</v>
      </c>
      <c r="D8" s="4">
        <v>26.41975309</v>
      </c>
      <c r="E8" s="4">
        <v>28.395061729999998</v>
      </c>
      <c r="F8" s="4">
        <v>30.617283950000001</v>
      </c>
      <c r="G8" s="4">
        <v>35.555555560000002</v>
      </c>
      <c r="H8" s="4">
        <v>31.1111</v>
      </c>
      <c r="I8" s="4">
        <v>29.753086419999999</v>
      </c>
      <c r="J8" s="4">
        <v>29.25925926</v>
      </c>
      <c r="K8" s="4">
        <v>27.037037040000001</v>
      </c>
      <c r="L8" s="4">
        <v>28.395061729999998</v>
      </c>
      <c r="M8" s="4">
        <v>25.0617284</v>
      </c>
      <c r="N8" s="4">
        <v>27.673261320000002</v>
      </c>
      <c r="O8" s="4">
        <v>26.823643650000001</v>
      </c>
      <c r="P8" s="4">
        <v>26.580895739999999</v>
      </c>
      <c r="Q8" s="4">
        <v>25.97402597</v>
      </c>
    </row>
    <row r="9" spans="1:17" x14ac:dyDescent="0.2">
      <c r="A9" s="4">
        <v>33</v>
      </c>
      <c r="B9" s="4" t="s">
        <v>10</v>
      </c>
      <c r="C9" s="4">
        <v>-5.3229540159999997</v>
      </c>
      <c r="D9" s="4">
        <v>22.362164249999999</v>
      </c>
      <c r="E9" s="4">
        <v>17.4784732</v>
      </c>
      <c r="F9" s="4">
        <v>21.591055130000001</v>
      </c>
      <c r="G9" s="4">
        <v>23.390309729999998</v>
      </c>
      <c r="H9" s="4">
        <v>23.7759</v>
      </c>
      <c r="I9" s="4">
        <v>21.719573319999999</v>
      </c>
      <c r="J9" s="4">
        <v>17.221436829999998</v>
      </c>
      <c r="K9" s="4">
        <v>14.779591310000001</v>
      </c>
      <c r="L9" s="4">
        <v>16.193291349999999</v>
      </c>
      <c r="M9" s="4">
        <v>15.67921861</v>
      </c>
      <c r="N9" s="4">
        <v>19.20236337</v>
      </c>
      <c r="O9" s="4">
        <v>18.54587231</v>
      </c>
      <c r="P9" s="4">
        <v>20.18709995</v>
      </c>
      <c r="Q9" s="4">
        <v>21.17183653</v>
      </c>
    </row>
    <row r="10" spans="1:17" x14ac:dyDescent="0.2">
      <c r="A10" s="4">
        <v>51</v>
      </c>
      <c r="B10" s="4" t="s">
        <v>17</v>
      </c>
      <c r="C10" s="4">
        <v>-8.3407750160000003</v>
      </c>
      <c r="D10" s="4">
        <v>18.11573945</v>
      </c>
      <c r="E10" s="4">
        <v>18.227564999999998</v>
      </c>
      <c r="F10" s="4">
        <v>19.233994970000001</v>
      </c>
      <c r="G10" s="4">
        <v>21.13502935</v>
      </c>
      <c r="H10" s="4">
        <v>18.507100000000001</v>
      </c>
      <c r="I10" s="4">
        <v>17.724350009999998</v>
      </c>
      <c r="J10" s="4">
        <v>14.20184512</v>
      </c>
      <c r="K10" s="4">
        <v>12.468549060000001</v>
      </c>
      <c r="L10" s="4">
        <v>14.31367067</v>
      </c>
      <c r="M10" s="4">
        <v>13.363153479999999</v>
      </c>
      <c r="N10" s="4">
        <v>18.424444609999998</v>
      </c>
      <c r="O10" s="4">
        <v>16.908029419999998</v>
      </c>
      <c r="P10" s="4">
        <v>17.211312459999998</v>
      </c>
      <c r="Q10" s="4">
        <v>16.604746380000002</v>
      </c>
    </row>
    <row r="11" spans="1:17" x14ac:dyDescent="0.2">
      <c r="A11" s="4">
        <v>16</v>
      </c>
      <c r="B11" s="4" t="s">
        <v>5</v>
      </c>
      <c r="C11" s="4">
        <v>-15.031020870000001</v>
      </c>
      <c r="D11" s="4">
        <v>40.048677949999998</v>
      </c>
      <c r="E11" s="4">
        <v>38.278570639999998</v>
      </c>
      <c r="F11" s="4">
        <v>41.59752185</v>
      </c>
      <c r="G11" s="4">
        <v>42.482575509999997</v>
      </c>
      <c r="H11" s="4">
        <v>42.593200000000003</v>
      </c>
      <c r="I11" s="4">
        <v>39.60615112</v>
      </c>
      <c r="J11" s="4">
        <v>33.078880409999996</v>
      </c>
      <c r="K11" s="4">
        <v>29.759929199999998</v>
      </c>
      <c r="L11" s="4">
        <v>33.410775530000002</v>
      </c>
      <c r="M11" s="4">
        <v>34.07456577</v>
      </c>
      <c r="N11" s="4">
        <v>28.670802779999999</v>
      </c>
      <c r="O11" s="4">
        <v>27.448768569999999</v>
      </c>
      <c r="P11" s="4">
        <v>36.285015979999997</v>
      </c>
      <c r="Q11" s="4">
        <v>34.02895281</v>
      </c>
    </row>
    <row r="12" spans="1:17" x14ac:dyDescent="0.2">
      <c r="A12" s="4">
        <v>23</v>
      </c>
      <c r="B12" s="4" t="s">
        <v>6</v>
      </c>
      <c r="C12" s="4">
        <v>-19.180734749999999</v>
      </c>
      <c r="D12" s="4">
        <v>12.04631601</v>
      </c>
      <c r="E12" s="4">
        <v>11.059764270000001</v>
      </c>
      <c r="F12" s="4">
        <v>11.734773349999999</v>
      </c>
      <c r="G12" s="4">
        <v>12.35785866</v>
      </c>
      <c r="H12" s="4">
        <v>11.6828</v>
      </c>
      <c r="I12" s="4">
        <v>10.384755180000001</v>
      </c>
      <c r="J12" s="4">
        <v>8.9828132299999996</v>
      </c>
      <c r="K12" s="4">
        <v>7.5808712810000003</v>
      </c>
      <c r="L12" s="4">
        <v>9.7616698690000003</v>
      </c>
      <c r="M12" s="4">
        <v>8.7231943510000001</v>
      </c>
      <c r="N12" s="4">
        <v>11.987548840000001</v>
      </c>
      <c r="O12" s="4">
        <v>10.99410557</v>
      </c>
      <c r="P12" s="4">
        <v>10.927876019999999</v>
      </c>
      <c r="Q12" s="4">
        <v>9.7357440890000007</v>
      </c>
    </row>
    <row r="13" spans="1:17" x14ac:dyDescent="0.2">
      <c r="A13" s="4">
        <v>28</v>
      </c>
      <c r="B13" s="4" t="s">
        <v>8</v>
      </c>
      <c r="C13" s="4">
        <v>-22.350243899999999</v>
      </c>
      <c r="D13" s="4">
        <v>37.379310340000004</v>
      </c>
      <c r="E13" s="4">
        <v>35.586206900000001</v>
      </c>
      <c r="F13" s="4">
        <v>38.482758619999998</v>
      </c>
      <c r="G13" s="4">
        <v>39.448275860000003</v>
      </c>
      <c r="H13" s="4">
        <v>35.862099999999998</v>
      </c>
      <c r="I13" s="4">
        <v>35.724137929999998</v>
      </c>
      <c r="J13" s="4">
        <v>33.103448280000002</v>
      </c>
      <c r="K13" s="4">
        <v>29.517241380000002</v>
      </c>
      <c r="L13" s="4">
        <v>33.379310340000004</v>
      </c>
      <c r="M13" s="4">
        <v>32.137931029999997</v>
      </c>
      <c r="N13" s="4">
        <v>26.41723356</v>
      </c>
      <c r="O13" s="4">
        <v>26.757369610000001</v>
      </c>
      <c r="P13" s="4">
        <v>27.66439909</v>
      </c>
      <c r="Q13" s="4">
        <v>29.024943310000001</v>
      </c>
    </row>
    <row r="14" spans="1:17" ht="17" customHeight="1" x14ac:dyDescent="0.2">
      <c r="A14" s="4">
        <v>47</v>
      </c>
      <c r="B14" s="4" t="s">
        <v>15</v>
      </c>
      <c r="C14" s="4">
        <v>-23.233678579999999</v>
      </c>
      <c r="D14" s="4">
        <v>13.35929108</v>
      </c>
      <c r="E14" s="4">
        <v>12.620837809999999</v>
      </c>
      <c r="F14" s="4">
        <v>13.56068743</v>
      </c>
      <c r="G14" s="4">
        <v>14.7019334</v>
      </c>
      <c r="H14" s="4">
        <v>13.0908</v>
      </c>
      <c r="I14" s="4">
        <v>9.9355531690000003</v>
      </c>
      <c r="J14" s="4">
        <v>9.0628356609999994</v>
      </c>
      <c r="K14" s="4">
        <v>7.5859291080000002</v>
      </c>
      <c r="L14" s="4">
        <v>7.8544575730000004</v>
      </c>
      <c r="M14" s="4">
        <v>6.780343716</v>
      </c>
      <c r="N14" s="4">
        <v>10.445351820000001</v>
      </c>
      <c r="O14" s="4">
        <v>9.4008166370000001</v>
      </c>
      <c r="P14" s="4">
        <v>9.6856898680000008</v>
      </c>
      <c r="Q14" s="4">
        <v>10.25543633</v>
      </c>
    </row>
    <row r="15" spans="1:17" x14ac:dyDescent="0.2">
      <c r="A15" s="4">
        <v>46</v>
      </c>
      <c r="B15" s="4" t="s">
        <v>14</v>
      </c>
      <c r="C15" s="4">
        <v>-23.721735120000002</v>
      </c>
      <c r="D15" s="4">
        <v>21.627998430000002</v>
      </c>
      <c r="E15" s="4">
        <v>18.28548958</v>
      </c>
      <c r="F15" s="4">
        <v>18.875344080000001</v>
      </c>
      <c r="G15" s="4">
        <v>19.268580419999999</v>
      </c>
      <c r="H15" s="4">
        <v>19.268599999999999</v>
      </c>
      <c r="I15" s="4">
        <v>26.346834449999999</v>
      </c>
      <c r="J15" s="4">
        <v>15.53283523</v>
      </c>
      <c r="K15" s="4">
        <v>12.976799059999999</v>
      </c>
      <c r="L15" s="4">
        <v>15.33621707</v>
      </c>
      <c r="M15" s="4">
        <v>21.03814392</v>
      </c>
      <c r="N15" s="4">
        <v>14.17089679</v>
      </c>
      <c r="O15" s="4">
        <v>14.17089679</v>
      </c>
      <c r="P15" s="4">
        <v>16.708967850000001</v>
      </c>
      <c r="Q15" s="4">
        <v>16.49746193</v>
      </c>
    </row>
    <row r="16" spans="1:17" x14ac:dyDescent="0.2">
      <c r="A16" s="4">
        <v>35</v>
      </c>
      <c r="B16" s="4" t="s">
        <v>11</v>
      </c>
      <c r="C16" s="4">
        <v>-25.02148828</v>
      </c>
      <c r="D16" s="4">
        <v>53.195739009999997</v>
      </c>
      <c r="E16" s="4">
        <v>48.268974700000001</v>
      </c>
      <c r="F16" s="4">
        <v>50.798934750000001</v>
      </c>
      <c r="G16" s="4">
        <v>56.99067909</v>
      </c>
      <c r="H16" s="4">
        <v>51.398099999999999</v>
      </c>
      <c r="I16" s="4">
        <v>52.862849529999998</v>
      </c>
      <c r="J16" s="4">
        <v>47.47003995</v>
      </c>
      <c r="K16" s="4">
        <v>43.54194407</v>
      </c>
      <c r="L16" s="4">
        <v>45.339547269999997</v>
      </c>
      <c r="M16" s="4">
        <v>45.073235689999997</v>
      </c>
      <c r="N16" s="4">
        <v>40.704134740000001</v>
      </c>
      <c r="O16" s="4">
        <v>39.417509799999998</v>
      </c>
      <c r="P16" s="4">
        <v>39.826890460000001</v>
      </c>
      <c r="Q16" s="4">
        <v>39.88537341</v>
      </c>
    </row>
    <row r="17" spans="1:17" x14ac:dyDescent="0.2">
      <c r="A17" s="4">
        <v>43</v>
      </c>
      <c r="B17" s="4" t="s">
        <v>13</v>
      </c>
      <c r="C17" s="4">
        <v>-39.935086630000001</v>
      </c>
      <c r="D17" s="4">
        <v>10.92858616</v>
      </c>
      <c r="E17" s="4">
        <v>10.17252045</v>
      </c>
      <c r="F17" s="4">
        <v>10.65365317</v>
      </c>
      <c r="G17" s="4">
        <v>10.447453429999999</v>
      </c>
      <c r="H17" s="4">
        <v>9.6226500000000001</v>
      </c>
      <c r="I17" s="4">
        <v>8.729122276</v>
      </c>
      <c r="J17" s="4">
        <v>8.1792563059999992</v>
      </c>
      <c r="K17" s="4">
        <v>6.0485256720000002</v>
      </c>
      <c r="L17" s="4">
        <v>6.8045913809999998</v>
      </c>
      <c r="M17" s="4">
        <v>6.1172589180000001</v>
      </c>
      <c r="N17" s="4">
        <v>6.5642458100000001</v>
      </c>
      <c r="O17" s="4">
        <v>6.4245810060000004</v>
      </c>
      <c r="P17" s="4">
        <v>6.7737430170000001</v>
      </c>
      <c r="Q17" s="4">
        <v>6.5642458100000001</v>
      </c>
    </row>
    <row r="18" spans="1:17" x14ac:dyDescent="0.2">
      <c r="A18" s="4">
        <v>14</v>
      </c>
      <c r="B18" s="4" t="s">
        <v>4</v>
      </c>
      <c r="C18" s="4">
        <v>-45.273217340000002</v>
      </c>
      <c r="D18" s="4">
        <v>456.23451690000002</v>
      </c>
      <c r="E18" s="4">
        <v>421.34599500000002</v>
      </c>
      <c r="F18" s="4">
        <v>337.57368910000002</v>
      </c>
      <c r="G18" s="4">
        <v>396.52497670000002</v>
      </c>
      <c r="H18" s="4">
        <v>336.17700000000002</v>
      </c>
      <c r="I18" s="4">
        <v>361.92987900000003</v>
      </c>
      <c r="J18" s="4">
        <v>319.73316790000001</v>
      </c>
      <c r="K18" s="4">
        <v>303.13372629999998</v>
      </c>
      <c r="L18" s="4">
        <v>314.30344400000001</v>
      </c>
      <c r="M18" s="4">
        <v>325.6282966</v>
      </c>
      <c r="N18" s="4">
        <v>216.4479255</v>
      </c>
      <c r="O18" s="4">
        <v>219.72904320000001</v>
      </c>
      <c r="P18" s="4">
        <v>236.98137170000001</v>
      </c>
      <c r="Q18" s="4">
        <v>249.68247249999999</v>
      </c>
    </row>
    <row r="19" spans="1:17" ht="17" customHeight="1" x14ac:dyDescent="0.2">
      <c r="A19" s="4">
        <v>30</v>
      </c>
      <c r="B19" s="4" t="s">
        <v>9</v>
      </c>
      <c r="C19" s="4">
        <v>-45.450358909999999</v>
      </c>
      <c r="D19" s="4">
        <v>69.93865031</v>
      </c>
      <c r="E19" s="4">
        <v>69.447852760000004</v>
      </c>
      <c r="F19" s="4">
        <v>45.818747569999999</v>
      </c>
      <c r="G19" s="4">
        <v>51.108518089999997</v>
      </c>
      <c r="H19" s="4">
        <v>46.129899999999999</v>
      </c>
      <c r="I19" s="4">
        <v>44.418514199999997</v>
      </c>
      <c r="J19" s="4">
        <v>43.3294438</v>
      </c>
      <c r="K19" s="4">
        <v>39.284325170000002</v>
      </c>
      <c r="L19" s="4">
        <v>42.551536370000001</v>
      </c>
      <c r="M19" s="4">
        <v>38.35083625</v>
      </c>
      <c r="N19" s="4">
        <v>37.02724147</v>
      </c>
      <c r="O19" s="4">
        <v>35.903200210000001</v>
      </c>
      <c r="P19" s="4">
        <v>36.828881250000002</v>
      </c>
      <c r="Q19" s="4">
        <v>38.151282729999998</v>
      </c>
    </row>
    <row r="21" spans="1:17" ht="17" customHeight="1" x14ac:dyDescent="0.2"/>
    <row r="22" spans="1:17" ht="46" customHeight="1" x14ac:dyDescent="0.2"/>
    <row r="28" spans="1:17" ht="17" customHeight="1" x14ac:dyDescent="0.2"/>
    <row r="34" ht="17" customHeight="1" x14ac:dyDescent="0.2"/>
  </sheetData>
  <autoFilter ref="C1:C55" xr:uid="{D654EBDF-FF92-8748-BDF9-44E4F2B9863E}"/>
  <sortState xmlns:xlrd2="http://schemas.microsoft.com/office/spreadsheetml/2017/richdata2" ref="C24:C40">
    <sortCondition descending="1" ref="C23:C4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495A-0B65-5849-8C3F-E1E133E272B3}">
  <dimension ref="A1:Q19"/>
  <sheetViews>
    <sheetView workbookViewId="0">
      <selection activeCell="N19" sqref="N19"/>
    </sheetView>
  </sheetViews>
  <sheetFormatPr baseColWidth="10" defaultRowHeight="16" x14ac:dyDescent="0.2"/>
  <sheetData>
    <row r="1" spans="1:17" x14ac:dyDescent="0.2">
      <c r="B1" s="1" t="s">
        <v>21</v>
      </c>
    </row>
    <row r="2" spans="1:17" x14ac:dyDescent="0.2">
      <c r="A2" s="2" t="s">
        <v>0</v>
      </c>
      <c r="B2" s="2" t="s">
        <v>1</v>
      </c>
      <c r="C2" t="s">
        <v>2</v>
      </c>
      <c r="D2">
        <v>2010</v>
      </c>
      <c r="E2">
        <v>2011</v>
      </c>
      <c r="F2">
        <v>2012</v>
      </c>
      <c r="G2">
        <v>2013</v>
      </c>
      <c r="H2">
        <v>2014</v>
      </c>
      <c r="I2">
        <v>2015</v>
      </c>
      <c r="J2">
        <v>2016</v>
      </c>
      <c r="K2">
        <v>2017</v>
      </c>
      <c r="L2">
        <v>2018</v>
      </c>
      <c r="M2">
        <v>2019</v>
      </c>
      <c r="N2">
        <v>2020</v>
      </c>
      <c r="O2">
        <v>2021</v>
      </c>
      <c r="P2">
        <v>2022</v>
      </c>
      <c r="Q2">
        <v>2023</v>
      </c>
    </row>
    <row r="3" spans="1:17" x14ac:dyDescent="0.2">
      <c r="A3">
        <v>47</v>
      </c>
      <c r="B3" t="s">
        <v>15</v>
      </c>
      <c r="C3">
        <f t="shared" ref="C3:C19" si="0">((Q3-D3)/D3)*100</f>
        <v>-66.604445965705821</v>
      </c>
      <c r="D3">
        <v>33.739837399999999</v>
      </c>
      <c r="E3">
        <v>29.864253389999998</v>
      </c>
      <c r="F3">
        <v>37.349397590000002</v>
      </c>
      <c r="G3">
        <v>42.704626330000004</v>
      </c>
      <c r="H3">
        <v>40.856000000000002</v>
      </c>
      <c r="I3">
        <v>33</v>
      </c>
      <c r="J3">
        <v>22.598870059999999</v>
      </c>
      <c r="K3">
        <v>23.376623380000002</v>
      </c>
      <c r="L3">
        <v>18.75</v>
      </c>
      <c r="M3">
        <v>14.285714285714199</v>
      </c>
      <c r="N3">
        <v>13.8157894736842</v>
      </c>
      <c r="O3">
        <v>10.489510490000001</v>
      </c>
      <c r="P3">
        <v>10</v>
      </c>
      <c r="Q3">
        <v>11.26760563</v>
      </c>
    </row>
    <row r="4" spans="1:17" x14ac:dyDescent="0.2">
      <c r="A4">
        <v>43</v>
      </c>
      <c r="B4" t="s">
        <v>13</v>
      </c>
      <c r="C4">
        <f t="shared" si="0"/>
        <v>-64.642338403192227</v>
      </c>
      <c r="D4">
        <v>39.512195120000001</v>
      </c>
      <c r="E4">
        <v>34.536082469999997</v>
      </c>
      <c r="F4">
        <v>33.816425119999998</v>
      </c>
      <c r="G4">
        <v>38.990825690000001</v>
      </c>
      <c r="H4">
        <v>40.776699999999998</v>
      </c>
      <c r="I4">
        <v>35</v>
      </c>
      <c r="J4">
        <v>26.035502959999999</v>
      </c>
      <c r="K4">
        <v>30.59701493</v>
      </c>
      <c r="L4">
        <v>22.142856999999999</v>
      </c>
      <c r="M4">
        <v>21.774193548387</v>
      </c>
      <c r="N4">
        <v>17.7777777777777</v>
      </c>
      <c r="O4">
        <v>14.59854015</v>
      </c>
      <c r="P4">
        <v>15.492957746478799</v>
      </c>
      <c r="Q4">
        <v>13.97058824</v>
      </c>
    </row>
    <row r="5" spans="1:17" x14ac:dyDescent="0.2">
      <c r="A5">
        <v>23</v>
      </c>
      <c r="B5" t="s">
        <v>6</v>
      </c>
      <c r="C5">
        <f t="shared" si="0"/>
        <v>-61.331233430233347</v>
      </c>
      <c r="D5">
        <v>37.299035369999999</v>
      </c>
      <c r="E5">
        <v>35.21126761</v>
      </c>
      <c r="F5">
        <v>38.29113924</v>
      </c>
      <c r="G5">
        <v>41.641337389999997</v>
      </c>
      <c r="H5">
        <v>43.125</v>
      </c>
      <c r="I5">
        <v>35</v>
      </c>
      <c r="J5">
        <v>26.639344260000001</v>
      </c>
      <c r="K5">
        <v>26.13065327</v>
      </c>
      <c r="L5">
        <v>15.686275</v>
      </c>
      <c r="M5">
        <v>18.421052631578899</v>
      </c>
      <c r="N5">
        <v>15.6</v>
      </c>
      <c r="O5">
        <v>15.06276151</v>
      </c>
      <c r="P5">
        <v>15.450643776824</v>
      </c>
      <c r="Q5">
        <v>14.42307692</v>
      </c>
    </row>
    <row r="6" spans="1:17" x14ac:dyDescent="0.2">
      <c r="A6">
        <v>33</v>
      </c>
      <c r="B6" t="s">
        <v>10</v>
      </c>
      <c r="C6">
        <f t="shared" si="0"/>
        <v>-60.410830994978838</v>
      </c>
      <c r="D6">
        <v>36.320754719999996</v>
      </c>
      <c r="E6">
        <v>30.246913580000001</v>
      </c>
      <c r="F6">
        <v>35.321100919999999</v>
      </c>
      <c r="G6">
        <v>33.913043479999999</v>
      </c>
      <c r="H6">
        <v>35.087699999999998</v>
      </c>
      <c r="I6">
        <v>32</v>
      </c>
      <c r="J6">
        <v>24.390243900000002</v>
      </c>
      <c r="K6">
        <v>28.873239439999999</v>
      </c>
      <c r="L6">
        <v>21.621621999999999</v>
      </c>
      <c r="M6">
        <v>17.006802721088398</v>
      </c>
      <c r="N6">
        <v>17.857142857142801</v>
      </c>
      <c r="O6">
        <v>17.777777780000001</v>
      </c>
      <c r="P6">
        <v>15.9722222222222</v>
      </c>
      <c r="Q6">
        <v>14.379084969999999</v>
      </c>
    </row>
    <row r="7" spans="1:17" x14ac:dyDescent="0.2">
      <c r="A7">
        <v>46</v>
      </c>
      <c r="B7" t="s">
        <v>14</v>
      </c>
      <c r="C7">
        <f t="shared" si="0"/>
        <v>-52.105432335502996</v>
      </c>
      <c r="D7">
        <v>40.939597319999997</v>
      </c>
      <c r="E7">
        <v>41.79104478</v>
      </c>
      <c r="F7">
        <v>43.243243239999998</v>
      </c>
      <c r="G7">
        <v>44.23076923</v>
      </c>
      <c r="H7">
        <v>43.333300000000001</v>
      </c>
      <c r="I7">
        <v>37</v>
      </c>
      <c r="J7">
        <v>29.41176471</v>
      </c>
      <c r="K7">
        <v>29.896907219999999</v>
      </c>
      <c r="L7">
        <v>26.605505000000001</v>
      </c>
      <c r="M7">
        <v>20.689655172413701</v>
      </c>
      <c r="N7">
        <v>21.649484536082401</v>
      </c>
      <c r="O7">
        <v>18.75</v>
      </c>
      <c r="P7">
        <v>19.2660550458715</v>
      </c>
      <c r="Q7">
        <v>19.60784314</v>
      </c>
    </row>
    <row r="8" spans="1:17" x14ac:dyDescent="0.2">
      <c r="A8">
        <v>16</v>
      </c>
      <c r="B8" t="s">
        <v>5</v>
      </c>
      <c r="C8">
        <f t="shared" si="0"/>
        <v>-51.362357829043759</v>
      </c>
      <c r="D8">
        <v>34.623217920000002</v>
      </c>
      <c r="E8">
        <v>30.519480519999998</v>
      </c>
      <c r="F8">
        <v>31.71206226</v>
      </c>
      <c r="G8">
        <v>39.583333330000002</v>
      </c>
      <c r="H8">
        <v>42.959000000000003</v>
      </c>
      <c r="I8">
        <v>34</v>
      </c>
      <c r="J8">
        <v>28.139534879999999</v>
      </c>
      <c r="K8">
        <v>33.756345179999997</v>
      </c>
      <c r="L8">
        <v>27.505828000000001</v>
      </c>
      <c r="M8">
        <v>20.8333333333333</v>
      </c>
      <c r="N8">
        <v>21.461187214611801</v>
      </c>
      <c r="O8">
        <v>18.337408310000001</v>
      </c>
      <c r="P8">
        <v>16.40625</v>
      </c>
      <c r="Q8">
        <v>16.839916840000001</v>
      </c>
    </row>
    <row r="9" spans="1:17" x14ac:dyDescent="0.2">
      <c r="A9">
        <v>51</v>
      </c>
      <c r="B9" t="s">
        <v>17</v>
      </c>
      <c r="C9">
        <f t="shared" si="0"/>
        <v>-49.150959413478695</v>
      </c>
      <c r="D9">
        <v>33.40707965</v>
      </c>
      <c r="E9">
        <v>34.389140269999999</v>
      </c>
      <c r="F9">
        <v>36.610878659999997</v>
      </c>
      <c r="G9">
        <v>43.15992293</v>
      </c>
      <c r="H9">
        <v>41.949199999999998</v>
      </c>
      <c r="I9">
        <v>33</v>
      </c>
      <c r="J9">
        <v>23.333333329999999</v>
      </c>
      <c r="K9">
        <v>26.625387</v>
      </c>
      <c r="L9">
        <v>22.465752999999999</v>
      </c>
      <c r="M9">
        <v>20.118343195266199</v>
      </c>
      <c r="N9">
        <v>19.020172910662801</v>
      </c>
      <c r="O9">
        <v>18.76923077</v>
      </c>
      <c r="P9">
        <v>18.4615384615384</v>
      </c>
      <c r="Q9">
        <v>16.987179489999999</v>
      </c>
    </row>
    <row r="10" spans="1:17" x14ac:dyDescent="0.2">
      <c r="A10">
        <v>28</v>
      </c>
      <c r="B10" t="s">
        <v>8</v>
      </c>
      <c r="C10">
        <f t="shared" si="0"/>
        <v>-48.667730555226115</v>
      </c>
      <c r="D10">
        <v>31.606217619999999</v>
      </c>
      <c r="E10">
        <v>30.081300809999998</v>
      </c>
      <c r="F10">
        <v>32.762836190000002</v>
      </c>
      <c r="G10">
        <v>35.57692308</v>
      </c>
      <c r="H10">
        <v>33.244700000000002</v>
      </c>
      <c r="I10">
        <v>29</v>
      </c>
      <c r="J10">
        <v>31.304347830000001</v>
      </c>
      <c r="K10">
        <v>38.064516130000001</v>
      </c>
      <c r="L10">
        <v>27.167629999999999</v>
      </c>
      <c r="M10">
        <v>21.6617210682492</v>
      </c>
      <c r="N10">
        <v>20.783132530120401</v>
      </c>
      <c r="O10">
        <v>16.51651652</v>
      </c>
      <c r="P10">
        <v>16.867469879518001</v>
      </c>
      <c r="Q10">
        <v>16.224188789999999</v>
      </c>
    </row>
    <row r="11" spans="1:17" x14ac:dyDescent="0.2">
      <c r="A11">
        <v>26</v>
      </c>
      <c r="B11" t="s">
        <v>7</v>
      </c>
      <c r="C11">
        <f t="shared" si="0"/>
        <v>-47.697895516055958</v>
      </c>
      <c r="D11">
        <v>39.460784310000001</v>
      </c>
      <c r="E11">
        <v>33.676092539999999</v>
      </c>
      <c r="F11">
        <v>32.935560860000002</v>
      </c>
      <c r="G11">
        <v>40.935672510000003</v>
      </c>
      <c r="H11">
        <v>40.829700000000003</v>
      </c>
      <c r="I11">
        <v>35</v>
      </c>
      <c r="J11">
        <v>31.39784946</v>
      </c>
      <c r="K11">
        <v>34.285714290000001</v>
      </c>
      <c r="L11">
        <v>23.041474999999998</v>
      </c>
      <c r="M11">
        <v>23.1920199501246</v>
      </c>
      <c r="N11">
        <v>20.813397129186601</v>
      </c>
      <c r="O11">
        <v>22.327790969999999</v>
      </c>
      <c r="P11">
        <v>21.219512195121901</v>
      </c>
      <c r="Q11">
        <v>20.638820639999999</v>
      </c>
    </row>
    <row r="12" spans="1:17" x14ac:dyDescent="0.2">
      <c r="A12">
        <v>48</v>
      </c>
      <c r="B12" t="s">
        <v>16</v>
      </c>
      <c r="C12">
        <f t="shared" si="0"/>
        <v>-47.048611121118924</v>
      </c>
      <c r="D12">
        <v>32.786885249999997</v>
      </c>
      <c r="E12">
        <v>28.389830509999999</v>
      </c>
      <c r="F12">
        <v>29.06976744</v>
      </c>
      <c r="G12">
        <v>42.033898309999998</v>
      </c>
      <c r="H12">
        <v>42.704599999999999</v>
      </c>
      <c r="I12">
        <v>40</v>
      </c>
      <c r="J12">
        <v>33.707865169999998</v>
      </c>
      <c r="K12">
        <v>33.955223879999998</v>
      </c>
      <c r="L12">
        <v>26.714801000000001</v>
      </c>
      <c r="M12">
        <v>23.873873873873801</v>
      </c>
      <c r="N12">
        <v>21.505376344085999</v>
      </c>
      <c r="O12">
        <v>19.503546100000001</v>
      </c>
      <c r="P12">
        <v>18.245614035087701</v>
      </c>
      <c r="Q12">
        <v>17.36111111</v>
      </c>
    </row>
    <row r="13" spans="1:17" x14ac:dyDescent="0.2">
      <c r="A13">
        <v>53</v>
      </c>
      <c r="B13" t="s">
        <v>18</v>
      </c>
      <c r="C13">
        <f t="shared" si="0"/>
        <v>-45.72169404380216</v>
      </c>
      <c r="D13">
        <v>28.343949039999998</v>
      </c>
      <c r="E13">
        <v>27.516778519999999</v>
      </c>
      <c r="F13">
        <v>28.28947368</v>
      </c>
      <c r="G13">
        <v>37</v>
      </c>
      <c r="H13">
        <v>36.569600000000001</v>
      </c>
      <c r="I13">
        <v>29</v>
      </c>
      <c r="J13">
        <v>21.05263158</v>
      </c>
      <c r="K13">
        <v>23.44497608</v>
      </c>
      <c r="L13">
        <v>21.862348000000001</v>
      </c>
      <c r="M13">
        <v>17.293233082706699</v>
      </c>
      <c r="N13">
        <v>15.4811715481171</v>
      </c>
      <c r="O13">
        <v>20.331950209999999</v>
      </c>
      <c r="P13">
        <v>17.424242424242401</v>
      </c>
      <c r="Q13">
        <v>15.38461538</v>
      </c>
    </row>
    <row r="14" spans="1:17" x14ac:dyDescent="0.2">
      <c r="A14">
        <v>35</v>
      </c>
      <c r="B14" t="s">
        <v>11</v>
      </c>
      <c r="C14">
        <f t="shared" si="0"/>
        <v>-44.303302698081701</v>
      </c>
      <c r="D14">
        <v>32.454545449999998</v>
      </c>
      <c r="E14">
        <v>27.19033233</v>
      </c>
      <c r="F14">
        <v>29.935125119999999</v>
      </c>
      <c r="G14">
        <v>37.220843670000001</v>
      </c>
      <c r="H14">
        <v>35.7866</v>
      </c>
      <c r="I14">
        <v>34</v>
      </c>
      <c r="J14">
        <v>33.364928910000003</v>
      </c>
      <c r="K14">
        <v>37.934560329999996</v>
      </c>
      <c r="L14">
        <v>28.276574</v>
      </c>
      <c r="M14">
        <v>24.634655532359002</v>
      </c>
      <c r="N14">
        <v>23.756345177664901</v>
      </c>
      <c r="O14">
        <v>19.567456230000001</v>
      </c>
      <c r="P14">
        <v>18.9690721649484</v>
      </c>
      <c r="Q14">
        <v>18.076109939999998</v>
      </c>
    </row>
    <row r="15" spans="1:17" x14ac:dyDescent="0.2">
      <c r="A15">
        <v>5</v>
      </c>
      <c r="B15" t="s">
        <v>3</v>
      </c>
      <c r="C15">
        <f t="shared" si="0"/>
        <v>-43.478972359759751</v>
      </c>
      <c r="D15">
        <v>33.439490450000001</v>
      </c>
      <c r="E15">
        <v>34.16149068</v>
      </c>
      <c r="F15">
        <v>39.010989010000003</v>
      </c>
      <c r="G15">
        <v>42.25</v>
      </c>
      <c r="H15">
        <v>38.2682</v>
      </c>
      <c r="I15">
        <v>32</v>
      </c>
      <c r="J15">
        <v>27.616279070000001</v>
      </c>
      <c r="K15">
        <v>32.594936709999999</v>
      </c>
      <c r="L15">
        <v>24.316109000000001</v>
      </c>
      <c r="M15">
        <v>17.241379310344801</v>
      </c>
      <c r="N15">
        <v>19.122257053291499</v>
      </c>
      <c r="O15">
        <v>17.049180329999999</v>
      </c>
      <c r="P15">
        <v>18.3946488294314</v>
      </c>
      <c r="Q15">
        <v>18.900343639999999</v>
      </c>
    </row>
    <row r="16" spans="1:17" x14ac:dyDescent="0.2">
      <c r="A16">
        <v>30</v>
      </c>
      <c r="B16" t="s">
        <v>9</v>
      </c>
      <c r="C16">
        <f t="shared" si="0"/>
        <v>-37.668205726102201</v>
      </c>
      <c r="D16">
        <v>37.407407409999998</v>
      </c>
      <c r="E16">
        <v>33.376792700000003</v>
      </c>
      <c r="F16">
        <v>35.414165670000003</v>
      </c>
      <c r="G16">
        <v>37.775330400000001</v>
      </c>
      <c r="H16">
        <v>39.904400000000003</v>
      </c>
      <c r="I16">
        <v>34</v>
      </c>
      <c r="J16">
        <v>30.51702396</v>
      </c>
      <c r="K16">
        <v>33.980582519999999</v>
      </c>
      <c r="L16">
        <v>26.888604000000001</v>
      </c>
      <c r="M16">
        <v>22.317596566523601</v>
      </c>
      <c r="N16">
        <v>24.6592317224287</v>
      </c>
      <c r="O16">
        <v>22.950819670000001</v>
      </c>
      <c r="P16">
        <v>23.279098873591899</v>
      </c>
      <c r="Q16">
        <v>23.31670823</v>
      </c>
    </row>
    <row r="17" spans="1:17" x14ac:dyDescent="0.2">
      <c r="A17">
        <v>14</v>
      </c>
      <c r="B17" t="s">
        <v>4</v>
      </c>
      <c r="C17">
        <f t="shared" si="0"/>
        <v>-36.995178197915187</v>
      </c>
      <c r="D17">
        <v>35.94639866</v>
      </c>
      <c r="E17">
        <v>31.135531140000001</v>
      </c>
      <c r="F17">
        <v>31.508723910000001</v>
      </c>
      <c r="G17">
        <v>38.651953470000002</v>
      </c>
      <c r="H17">
        <v>39.480899999999998</v>
      </c>
      <c r="I17">
        <v>36</v>
      </c>
      <c r="J17">
        <v>31.578947370000002</v>
      </c>
      <c r="K17">
        <v>36.769759450000002</v>
      </c>
      <c r="L17">
        <v>30.492424</v>
      </c>
      <c r="M17">
        <v>27.909522072236399</v>
      </c>
      <c r="N17">
        <v>28.028592927012699</v>
      </c>
      <c r="O17">
        <v>26.77048572</v>
      </c>
      <c r="P17">
        <v>24.6493688639551</v>
      </c>
      <c r="Q17">
        <v>22.647964420000001</v>
      </c>
    </row>
    <row r="18" spans="1:17" x14ac:dyDescent="0.2">
      <c r="A18">
        <v>54</v>
      </c>
      <c r="B18" t="s">
        <v>19</v>
      </c>
      <c r="C18">
        <f t="shared" si="0"/>
        <v>-34.450891924073105</v>
      </c>
      <c r="D18">
        <v>28.285714290000001</v>
      </c>
      <c r="E18">
        <v>26.006191950000002</v>
      </c>
      <c r="F18">
        <v>31.062670300000001</v>
      </c>
      <c r="G18">
        <v>38.107416880000002</v>
      </c>
      <c r="H18">
        <v>37.8307</v>
      </c>
      <c r="I18">
        <v>30</v>
      </c>
      <c r="J18">
        <v>23.291925469999999</v>
      </c>
      <c r="K18">
        <v>24.067796609999998</v>
      </c>
      <c r="L18">
        <v>22.839506</v>
      </c>
      <c r="M18">
        <v>20.945945945945901</v>
      </c>
      <c r="N18">
        <v>21.341463414634099</v>
      </c>
      <c r="O18">
        <v>18.633540369999999</v>
      </c>
      <c r="P18">
        <v>19.230769230769202</v>
      </c>
      <c r="Q18">
        <v>18.541033429999999</v>
      </c>
    </row>
    <row r="19" spans="1:17" x14ac:dyDescent="0.2">
      <c r="A19">
        <v>41</v>
      </c>
      <c r="B19" t="s">
        <v>12</v>
      </c>
      <c r="C19">
        <f t="shared" si="0"/>
        <v>-19.554904843494395</v>
      </c>
      <c r="D19">
        <v>43.578947370000002</v>
      </c>
      <c r="E19">
        <v>37.916666669999998</v>
      </c>
      <c r="F19">
        <v>37.136929459999998</v>
      </c>
      <c r="G19">
        <v>28.163992870000001</v>
      </c>
      <c r="H19">
        <v>38.947400000000002</v>
      </c>
      <c r="I19">
        <v>49</v>
      </c>
      <c r="J19">
        <v>60.151324090000003</v>
      </c>
      <c r="K19">
        <v>59.012629160000003</v>
      </c>
      <c r="L19">
        <v>45.923149000000002</v>
      </c>
      <c r="M19">
        <v>52.712477396021697</v>
      </c>
      <c r="N19">
        <v>48.306451612903203</v>
      </c>
      <c r="O19">
        <v>48.671222479999997</v>
      </c>
      <c r="P19">
        <v>37.888956680902901</v>
      </c>
      <c r="Q19">
        <v>35.057125679999999</v>
      </c>
    </row>
  </sheetData>
  <autoFilter ref="C1:C19" xr:uid="{B40D495A-0B65-5849-8C3F-E1E133E272B3}">
    <sortState xmlns:xlrd2="http://schemas.microsoft.com/office/spreadsheetml/2017/richdata2" ref="A2:Q19">
      <sortCondition ref="C1:C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Dean Cohen</dc:creator>
  <cp:lastModifiedBy>Matthew Dean Cohen</cp:lastModifiedBy>
  <dcterms:created xsi:type="dcterms:W3CDTF">2025-10-28T16:09:28Z</dcterms:created>
  <dcterms:modified xsi:type="dcterms:W3CDTF">2025-11-04T13:32:16Z</dcterms:modified>
</cp:coreProperties>
</file>